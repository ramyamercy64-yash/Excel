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an\OneDrive\Desktop\DATA ANALYTICS_RAMYA_2026\WEEK2_ASSIGNMENT\"/>
    </mc:Choice>
  </mc:AlternateContent>
  <xr:revisionPtr revIDLastSave="0" documentId="13_ncr:1_{A4E91D1C-FCB9-4EEB-8839-44597CB387D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P9" i="2"/>
  <c r="P8" i="2"/>
  <c r="P3" i="2"/>
  <c r="P2" i="2"/>
  <c r="P4" i="2"/>
  <c r="P5" i="2"/>
  <c r="P6" i="2"/>
  <c r="G2" i="2"/>
  <c r="G5" i="2"/>
  <c r="G3" i="2"/>
  <c r="G4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</calcChain>
</file>

<file path=xl/sharedStrings.xml><?xml version="1.0" encoding="utf-8"?>
<sst xmlns="http://schemas.openxmlformats.org/spreadsheetml/2006/main" count="172" uniqueCount="123">
  <si>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</si>
  <si>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</si>
  <si>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</si>
  <si>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</si>
  <si>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</si>
  <si>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</si>
  <si>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</si>
  <si>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</si>
  <si>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</si>
  <si>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</si>
  <si>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</si>
  <si>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</si>
  <si>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</si>
  <si>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</si>
  <si>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</si>
  <si>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</si>
  <si>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</si>
  <si>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</si>
  <si>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</si>
  <si>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</si>
  <si>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</si>
  <si>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</si>
  <si>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</si>
  <si>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</si>
  <si>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</si>
  <si>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</si>
  <si>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</si>
  <si>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</si>
  <si>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</si>
  <si>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</si>
  <si>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</si>
  <si>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</si>
  <si>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</si>
  <si>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</si>
  <si>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</si>
  <si>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</si>
  <si>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</si>
  <si>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</si>
  <si>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</si>
  <si>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</si>
  <si>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</si>
  <si>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</si>
  <si>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</si>
  <si>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</si>
  <si>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</si>
  <si>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</si>
  <si>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</si>
  <si>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</si>
  <si>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</si>
  <si>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</si>
  <si>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</si>
  <si>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</si>
  <si>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</si>
  <si>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</si>
  <si>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</si>
  <si>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</si>
  <si>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</si>
  <si>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</si>
  <si>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</si>
  <si>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</si>
  <si>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</si>
  <si>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</si>
  <si>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</si>
  <si>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</si>
  <si>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</si>
  <si>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</si>
  <si>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</si>
  <si>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</si>
  <si>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</si>
  <si>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</si>
  <si>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</si>
  <si>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</si>
  <si>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</si>
  <si>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</si>
  <si>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</si>
  <si>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</si>
  <si>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</si>
  <si>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</si>
  <si>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</si>
  <si>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</si>
  <si>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</si>
  <si>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</si>
  <si>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</si>
  <si>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</si>
  <si>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</si>
  <si>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</si>
  <si>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</si>
  <si>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</si>
  <si>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</si>
  <si>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</si>
  <si>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</si>
  <si>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</si>
  <si>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</si>
  <si>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</si>
  <si>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</si>
  <si>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</si>
  <si>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</si>
  <si>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</si>
  <si>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</si>
  <si>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</si>
  <si>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</si>
  <si>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</si>
  <si>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</si>
  <si>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</si>
  <si>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</si>
  <si>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</si>
  <si>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</si>
  <si>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</si>
  <si>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</si>
  <si>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</si>
  <si>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2)</t>
  </si>
  <si>
    <t>PRICE RANGE</t>
  </si>
  <si>
    <t xml:space="preserve"> 1)</t>
  </si>
  <si>
    <t>3)               IF CONDITION</t>
  </si>
  <si>
    <t>4)</t>
  </si>
  <si>
    <t>Day</t>
  </si>
  <si>
    <t>Country code</t>
  </si>
  <si>
    <t>5)</t>
  </si>
  <si>
    <t>Month</t>
  </si>
  <si>
    <t>(FROM THE TABLE) PRICE RANGE</t>
  </si>
  <si>
    <t xml:space="preserve"> LEFT FUNCTION(FROM THE TABLE) DAY</t>
  </si>
  <si>
    <t>MID FUNCTION(MONTH)</t>
  </si>
  <si>
    <t>RIGHT FUNCTION (COUNTRY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</si>
</sst>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3E5EA-2FC7-46AF-B115-E5D78B1B86CC}" name="Table1" displayName="Table1" ref="A1:J35" totalsRowShown="0" headerRowDxfId="10">
  <autoFilter ref="A1:J35" xr:uid="{2A23E5EA-2FC7-46AF-B115-E5D78B1B86CC}"/>
  <tableColumns count="10">
    <tableColumn id="1" xr3:uid="{DFB7AD48-CB05-4C66-90BC-C5B034F102FA}" name="Product ID" dataDxfId="9"/>
    <tableColumn id="2" xr3:uid="{2DE3AA33-BD5F-4989-9715-EB56A31C015D}" name="Product Name" dataDxfId="8"/>
    <tableColumn id="3" xr3:uid="{6580C315-4ED5-4249-924A-4164CB07BC8B}" name="Brand Name" dataDxfId="7"/>
    <tableColumn id="4" xr3:uid="{115140F5-E038-4B92-88CC-FD2CF6ACA44B}" name="Price ($)" dataDxfId="6"/>
    <tableColumn id="5" xr3:uid="{C502D0E1-C367-4E91-92D4-0F8E95B4D53B}" name="Quantity" dataDxfId="5"/>
    <tableColumn id="6" xr3:uid="{561542C8-258F-4671-95A8-3AE6C035C223}" name="Category" dataDxfId="4"/>
    <tableColumn id="7" xr3:uid="{5C72E535-28F8-4AD9-B713-9D260DB51913}" name="PRICE RANGE" dataDxfId="3">
      <calculatedColumnFormula>IF(Table1[[#This Row],[Price ($)]]&gt;=500,"High Price","Standard Price")</calculatedColumnFormula>
    </tableColumn>
    <tableColumn id="8" xr3:uid="{798D59E0-EEBB-4A57-9AA0-86BA8DC949A4}" name="Day" dataDxfId="2">
      <calculatedColumnFormula>LEFT(A2,2)</calculatedColumnFormula>
    </tableColumn>
    <tableColumn id="9" xr3:uid="{3E4F773D-7951-42FA-8C27-8D10D53B64F4}" name="Country code" dataDxfId="1">
      <calculatedColumnFormula>RIGHT(A2,2)</calculatedColumnFormula>
    </tableColumn>
    <tableColumn id="10" xr3:uid="{15A16C5D-A467-49FD-87A7-8FA118176464}" name="Month" dataDxfId="0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98" zoomScaleNormal="98" workbookViewId="0">
      <selection activeCell="H23" sqref="H23"/>
    </sheetView>
  </sheetViews>
  <sheetFormatPr defaultColWidth="12.6640625" defaultRowHeight="15.75" customHeight="1" x14ac:dyDescent="0.25"/>
  <sheetData>
    <row r="1" spans="1:26" ht="13.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35"/>
  <sheetViews>
    <sheetView tabSelected="1" topLeftCell="E1" zoomScale="107" zoomScaleNormal="107" workbookViewId="0">
      <selection activeCell="N2" sqref="N2"/>
    </sheetView>
  </sheetViews>
  <sheetFormatPr defaultColWidth="12.6640625" defaultRowHeight="15.75" customHeight="1" x14ac:dyDescent="0.25"/>
  <cols>
    <col min="2" max="2" width="15.33203125" customWidth="1"/>
    <col min="3" max="3" width="13.6640625" customWidth="1"/>
    <col min="7" max="7" width="18.88671875" customWidth="1"/>
    <col min="10" max="10" width="9.88671875" customWidth="1"/>
    <col min="11" max="11" width="24" customWidth="1"/>
    <col min="14" max="14" width="4" customWidth="1"/>
    <col min="15" max="15" width="22.6640625" customWidth="1"/>
    <col min="16" max="16" width="34.77734375" customWidth="1"/>
  </cols>
  <sheetData>
    <row r="1" spans="1:16" ht="13.2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111</v>
      </c>
      <c r="H1" s="5" t="s">
        <v>115</v>
      </c>
      <c r="I1" s="5" t="s">
        <v>116</v>
      </c>
      <c r="J1" s="5" t="s">
        <v>118</v>
      </c>
    </row>
    <row r="2" spans="1:16" ht="13.2" x14ac:dyDescent="0.25">
      <c r="A2" s="2" t="s">
        <v>23</v>
      </c>
      <c r="B2" s="2" t="s">
        <v>24</v>
      </c>
      <c r="C2" s="2" t="s">
        <v>25</v>
      </c>
      <c r="D2" s="6">
        <v>1000</v>
      </c>
      <c r="E2" s="6">
        <v>30</v>
      </c>
      <c r="F2" s="2" t="s">
        <v>26</v>
      </c>
      <c r="G2" t="str">
        <f>IF(Table1[[#This Row],[Price ($)]]&gt;=500,"High Price","Standard Price")</f>
        <v>High Price</v>
      </c>
      <c r="H2" t="str">
        <f t="shared" ref="H2:H35" si="0">LEFT(A2,2)</f>
        <v>28</v>
      </c>
      <c r="I2" t="str">
        <f t="shared" ref="I2:I35" si="1">RIGHT(A2,2)</f>
        <v>US</v>
      </c>
      <c r="J2" t="str">
        <f t="shared" ref="J2:J35" si="2">MID(A2,4,3)</f>
        <v>JAN</v>
      </c>
      <c r="O2" t="s">
        <v>112</v>
      </c>
      <c r="P2">
        <f>SUM(D2:D35)</f>
        <v>10100</v>
      </c>
    </row>
    <row r="3" spans="1:16" ht="13.2" x14ac:dyDescent="0.25">
      <c r="A3" s="7" t="s">
        <v>27</v>
      </c>
      <c r="B3" s="7" t="s">
        <v>28</v>
      </c>
      <c r="C3" s="7" t="s">
        <v>29</v>
      </c>
      <c r="D3" s="8">
        <v>80</v>
      </c>
      <c r="E3" s="8">
        <v>15</v>
      </c>
      <c r="F3" s="7" t="s">
        <v>30</v>
      </c>
      <c r="G3" t="str">
        <f>IF(Table1[[#This Row],[Price ($)]]&gt;=500,"High Price","Standard Price")</f>
        <v>Standard Price</v>
      </c>
      <c r="H3" t="str">
        <f t="shared" si="0"/>
        <v>15</v>
      </c>
      <c r="I3" t="str">
        <f t="shared" si="1"/>
        <v>US</v>
      </c>
      <c r="J3" t="str">
        <f t="shared" si="2"/>
        <v>FEB</v>
      </c>
      <c r="P3">
        <f>COUNT(E2:E35)</f>
        <v>34</v>
      </c>
    </row>
    <row r="4" spans="1:16" ht="13.2" x14ac:dyDescent="0.25">
      <c r="A4" s="2" t="s">
        <v>31</v>
      </c>
      <c r="B4" s="2" t="s">
        <v>32</v>
      </c>
      <c r="C4" s="2" t="s">
        <v>33</v>
      </c>
      <c r="D4" s="6">
        <v>130</v>
      </c>
      <c r="E4" s="6">
        <v>40</v>
      </c>
      <c r="F4" s="2" t="s">
        <v>34</v>
      </c>
      <c r="G4" t="str">
        <f>IF(Table1[[#This Row],[Price ($)]]&gt;=500,"High Price","Standard Price")</f>
        <v>Standard Price</v>
      </c>
      <c r="H4" t="str">
        <f t="shared" si="0"/>
        <v>03</v>
      </c>
      <c r="I4" t="str">
        <f t="shared" si="1"/>
        <v>US</v>
      </c>
      <c r="J4" t="str">
        <f t="shared" si="2"/>
        <v>MAR</v>
      </c>
      <c r="P4">
        <f>AVERAGE(D2:D35)</f>
        <v>297.05882352941177</v>
      </c>
    </row>
    <row r="5" spans="1:16" ht="15.75" customHeight="1" x14ac:dyDescent="0.3">
      <c r="A5" s="7" t="s">
        <v>35</v>
      </c>
      <c r="B5" s="7" t="s">
        <v>36</v>
      </c>
      <c r="C5" s="7" t="s">
        <v>37</v>
      </c>
      <c r="D5" s="8">
        <v>900</v>
      </c>
      <c r="E5" s="8">
        <v>25</v>
      </c>
      <c r="F5" s="7" t="s">
        <v>26</v>
      </c>
      <c r="G5" t="str">
        <f>IF(Table1[[#This Row],[Price ($)]]&gt;=500,"High Price","Standard Price")</f>
        <v>High Price</v>
      </c>
      <c r="H5" s="4" t="str">
        <f t="shared" si="0"/>
        <v>11</v>
      </c>
      <c r="I5" t="str">
        <f t="shared" si="1"/>
        <v>US</v>
      </c>
      <c r="J5" t="str">
        <f t="shared" si="2"/>
        <v>APR</v>
      </c>
      <c r="O5" t="s">
        <v>110</v>
      </c>
      <c r="P5">
        <f>MIN(D2:D35)</f>
        <v>30</v>
      </c>
    </row>
    <row r="6" spans="1:16" ht="13.2" x14ac:dyDescent="0.25">
      <c r="A6" s="2" t="s">
        <v>38</v>
      </c>
      <c r="B6" s="2" t="s">
        <v>39</v>
      </c>
      <c r="C6" s="2" t="s">
        <v>40</v>
      </c>
      <c r="D6" s="6">
        <v>70</v>
      </c>
      <c r="E6" s="6">
        <v>20</v>
      </c>
      <c r="F6" s="2" t="s">
        <v>41</v>
      </c>
      <c r="G6" t="str">
        <f>IF(Table1[[#This Row],[Price ($)]]&gt;=500,"High Price","Standard Price")</f>
        <v>Standard Price</v>
      </c>
      <c r="H6" t="str">
        <f t="shared" si="0"/>
        <v>22</v>
      </c>
      <c r="I6" t="str">
        <f t="shared" si="1"/>
        <v>US</v>
      </c>
      <c r="J6" t="str">
        <f t="shared" si="2"/>
        <v>MAY</v>
      </c>
      <c r="P6">
        <f>MAX(D2:D35)</f>
        <v>1000</v>
      </c>
    </row>
    <row r="7" spans="1:16" ht="13.2" x14ac:dyDescent="0.25">
      <c r="A7" s="7" t="s">
        <v>42</v>
      </c>
      <c r="B7" s="7" t="s">
        <v>43</v>
      </c>
      <c r="C7" s="7" t="s">
        <v>44</v>
      </c>
      <c r="D7" s="8">
        <v>200</v>
      </c>
      <c r="E7" s="8">
        <v>45</v>
      </c>
      <c r="F7" s="7" t="s">
        <v>26</v>
      </c>
      <c r="G7" t="str">
        <f>IF(Table1[[#This Row],[Price ($)]]&gt;=500,"High Price","Standard Price")</f>
        <v>Standard Price</v>
      </c>
      <c r="H7" t="str">
        <f t="shared" si="0"/>
        <v>07</v>
      </c>
      <c r="I7" t="str">
        <f t="shared" si="1"/>
        <v>UK</v>
      </c>
      <c r="J7" t="str">
        <f t="shared" si="2"/>
        <v>JUN</v>
      </c>
      <c r="O7" t="s">
        <v>113</v>
      </c>
      <c r="P7" t="s">
        <v>119</v>
      </c>
    </row>
    <row r="8" spans="1:16" ht="13.2" x14ac:dyDescent="0.25">
      <c r="A8" s="2" t="s">
        <v>45</v>
      </c>
      <c r="B8" s="2" t="s">
        <v>46</v>
      </c>
      <c r="C8" s="2" t="s">
        <v>47</v>
      </c>
      <c r="D8" s="6">
        <v>30</v>
      </c>
      <c r="E8" s="6">
        <v>5</v>
      </c>
      <c r="F8" s="2" t="s">
        <v>30</v>
      </c>
      <c r="G8" t="str">
        <f>IF(Table1[[#This Row],[Price ($)]]&gt;=500,"High Price","Standard Price")</f>
        <v>Standard Price</v>
      </c>
      <c r="H8" t="str">
        <f t="shared" si="0"/>
        <v>19</v>
      </c>
      <c r="I8" t="str">
        <f t="shared" si="1"/>
        <v>UK</v>
      </c>
      <c r="J8" t="str">
        <f t="shared" si="2"/>
        <v>JUL</v>
      </c>
      <c r="O8" t="s">
        <v>114</v>
      </c>
      <c r="P8">
        <f>SUMIF(F2:F35,"Electronics",D2:D35)</f>
        <v>8050</v>
      </c>
    </row>
    <row r="9" spans="1:16" ht="13.2" x14ac:dyDescent="0.25">
      <c r="A9" s="7" t="s">
        <v>48</v>
      </c>
      <c r="B9" s="7" t="s">
        <v>49</v>
      </c>
      <c r="C9" s="7" t="s">
        <v>50</v>
      </c>
      <c r="D9" s="8">
        <v>90</v>
      </c>
      <c r="E9" s="8">
        <v>35</v>
      </c>
      <c r="F9" s="7" t="s">
        <v>34</v>
      </c>
      <c r="G9" t="str">
        <f>IF(Table1[[#This Row],[Price ($)]]&gt;=500,"High Price","Standard Price")</f>
        <v>Standard Price</v>
      </c>
      <c r="H9" t="str">
        <f t="shared" si="0"/>
        <v>23</v>
      </c>
      <c r="I9" t="str">
        <f t="shared" si="1"/>
        <v>UK</v>
      </c>
      <c r="J9" t="str">
        <f t="shared" si="2"/>
        <v>AUG</v>
      </c>
      <c r="P9">
        <f>COUNTIF(D2:D35,"&lt;100")</f>
        <v>11</v>
      </c>
    </row>
    <row r="10" spans="1:16" ht="13.2" x14ac:dyDescent="0.25">
      <c r="A10" s="2" t="s">
        <v>51</v>
      </c>
      <c r="B10" s="2" t="s">
        <v>52</v>
      </c>
      <c r="C10" s="2" t="s">
        <v>53</v>
      </c>
      <c r="D10" s="6">
        <v>500</v>
      </c>
      <c r="E10" s="6">
        <v>50</v>
      </c>
      <c r="F10" s="2" t="s">
        <v>26</v>
      </c>
      <c r="G10" t="str">
        <f>IF(Table1[[#This Row],[Price ($)]]&gt;=500,"High Price","Standard Price")</f>
        <v>High Price</v>
      </c>
      <c r="H10" t="str">
        <f t="shared" si="0"/>
        <v>05</v>
      </c>
      <c r="I10" t="str">
        <f t="shared" si="1"/>
        <v>UK</v>
      </c>
      <c r="J10" t="str">
        <f t="shared" si="2"/>
        <v>SEP</v>
      </c>
      <c r="O10" t="s">
        <v>117</v>
      </c>
      <c r="P10" t="s">
        <v>120</v>
      </c>
    </row>
    <row r="11" spans="1:16" ht="13.2" x14ac:dyDescent="0.25">
      <c r="A11" s="7" t="s">
        <v>54</v>
      </c>
      <c r="B11" s="7" t="s">
        <v>55</v>
      </c>
      <c r="C11" s="7" t="s">
        <v>56</v>
      </c>
      <c r="D11" s="8">
        <v>130</v>
      </c>
      <c r="E11" s="8">
        <v>10</v>
      </c>
      <c r="F11" s="7" t="s">
        <v>41</v>
      </c>
      <c r="G11" t="str">
        <f>IF(Table1[[#This Row],[Price ($)]]&gt;=500,"High Price","Standard Price")</f>
        <v>Standard Price</v>
      </c>
      <c r="H11" t="str">
        <f t="shared" si="0"/>
        <v>14</v>
      </c>
      <c r="I11" t="str">
        <f t="shared" si="1"/>
        <v>UK</v>
      </c>
      <c r="J11" t="str">
        <f t="shared" si="2"/>
        <v>OCT</v>
      </c>
      <c r="P11" t="s">
        <v>122</v>
      </c>
    </row>
    <row r="12" spans="1:16" ht="13.2" x14ac:dyDescent="0.25">
      <c r="A12" s="2" t="s">
        <v>57</v>
      </c>
      <c r="B12" s="2" t="s">
        <v>24</v>
      </c>
      <c r="C12" s="2" t="s">
        <v>58</v>
      </c>
      <c r="D12" s="6">
        <v>950</v>
      </c>
      <c r="E12" s="6">
        <v>25</v>
      </c>
      <c r="F12" s="2" t="s">
        <v>26</v>
      </c>
      <c r="G12" t="str">
        <f>IF(Table1[[#This Row],[Price ($)]]&gt;=500,"High Price","Standard Price")</f>
        <v>High Price</v>
      </c>
      <c r="H12" t="str">
        <f t="shared" si="0"/>
        <v>17</v>
      </c>
      <c r="I12" t="str">
        <f t="shared" si="1"/>
        <v>IN</v>
      </c>
      <c r="J12" t="str">
        <f t="shared" si="2"/>
        <v>JUN</v>
      </c>
      <c r="P12" t="s">
        <v>121</v>
      </c>
    </row>
    <row r="13" spans="1:16" ht="13.2" x14ac:dyDescent="0.25">
      <c r="A13" s="7" t="s">
        <v>59</v>
      </c>
      <c r="B13" s="7" t="s">
        <v>28</v>
      </c>
      <c r="C13" s="7" t="s">
        <v>47</v>
      </c>
      <c r="D13" s="8">
        <v>90</v>
      </c>
      <c r="E13" s="8">
        <v>40</v>
      </c>
      <c r="F13" s="7" t="s">
        <v>30</v>
      </c>
      <c r="G13" t="str">
        <f>IF(Table1[[#This Row],[Price ($)]]&gt;=500,"High Price","Standard Price")</f>
        <v>Standard Price</v>
      </c>
      <c r="H13" t="str">
        <f t="shared" si="0"/>
        <v>25</v>
      </c>
      <c r="I13" t="str">
        <f t="shared" si="1"/>
        <v>AU</v>
      </c>
      <c r="J13" t="str">
        <f t="shared" si="2"/>
        <v>NOV</v>
      </c>
    </row>
    <row r="14" spans="1:16" ht="13.2" x14ac:dyDescent="0.25">
      <c r="A14" s="2" t="s">
        <v>60</v>
      </c>
      <c r="B14" s="2" t="s">
        <v>32</v>
      </c>
      <c r="C14" s="2" t="s">
        <v>61</v>
      </c>
      <c r="D14" s="6">
        <v>120</v>
      </c>
      <c r="E14" s="6">
        <v>35</v>
      </c>
      <c r="F14" s="2" t="s">
        <v>34</v>
      </c>
      <c r="G14" t="str">
        <f>IF(Table1[[#This Row],[Price ($)]]&gt;=500,"High Price","Standard Price")</f>
        <v>Standard Price</v>
      </c>
      <c r="H14" t="str">
        <f t="shared" si="0"/>
        <v>08</v>
      </c>
      <c r="I14" t="str">
        <f t="shared" si="1"/>
        <v>DE</v>
      </c>
      <c r="J14" t="str">
        <f t="shared" si="2"/>
        <v>DEC</v>
      </c>
    </row>
    <row r="15" spans="1:16" ht="13.2" x14ac:dyDescent="0.25">
      <c r="A15" s="7" t="s">
        <v>62</v>
      </c>
      <c r="B15" s="7" t="s">
        <v>63</v>
      </c>
      <c r="C15" s="7" t="s">
        <v>64</v>
      </c>
      <c r="D15" s="8">
        <v>150</v>
      </c>
      <c r="E15" s="8">
        <v>15</v>
      </c>
      <c r="F15" s="7" t="s">
        <v>26</v>
      </c>
      <c r="G15" t="str">
        <f>IF(Table1[[#This Row],[Price ($)]]&gt;=500,"High Price","Standard Price")</f>
        <v>Standard Price</v>
      </c>
      <c r="H15" t="str">
        <f t="shared" si="0"/>
        <v>18</v>
      </c>
      <c r="I15" t="str">
        <f t="shared" si="1"/>
        <v>CA</v>
      </c>
      <c r="J15" t="str">
        <f t="shared" si="2"/>
        <v>FEB</v>
      </c>
    </row>
    <row r="16" spans="1:16" ht="13.2" x14ac:dyDescent="0.25">
      <c r="A16" s="2" t="s">
        <v>65</v>
      </c>
      <c r="B16" s="2" t="s">
        <v>43</v>
      </c>
      <c r="C16" s="2" t="s">
        <v>66</v>
      </c>
      <c r="D16" s="6">
        <v>250</v>
      </c>
      <c r="E16" s="6">
        <v>20</v>
      </c>
      <c r="F16" s="2" t="s">
        <v>26</v>
      </c>
      <c r="G16" t="str">
        <f>IF(Table1[[#This Row],[Price ($)]]&gt;=500,"High Price","Standard Price")</f>
        <v>Standard Price</v>
      </c>
      <c r="H16" t="str">
        <f t="shared" si="0"/>
        <v>16</v>
      </c>
      <c r="I16" t="str">
        <f t="shared" si="1"/>
        <v>ES</v>
      </c>
      <c r="J16" t="str">
        <f t="shared" si="2"/>
        <v>APR</v>
      </c>
    </row>
    <row r="17" spans="1:10" ht="13.2" x14ac:dyDescent="0.25">
      <c r="A17" s="7" t="s">
        <v>67</v>
      </c>
      <c r="B17" s="7" t="s">
        <v>68</v>
      </c>
      <c r="C17" s="7" t="s">
        <v>69</v>
      </c>
      <c r="D17" s="8">
        <v>50</v>
      </c>
      <c r="E17" s="8">
        <v>35</v>
      </c>
      <c r="F17" s="7" t="s">
        <v>70</v>
      </c>
      <c r="G17" t="str">
        <f>IF(Table1[[#This Row],[Price ($)]]&gt;=500,"High Price","Standard Price")</f>
        <v>Standard Price</v>
      </c>
      <c r="H17" t="str">
        <f t="shared" si="0"/>
        <v>21</v>
      </c>
      <c r="I17" t="str">
        <f t="shared" si="1"/>
        <v>CA</v>
      </c>
      <c r="J17" t="str">
        <f t="shared" si="2"/>
        <v>AUG</v>
      </c>
    </row>
    <row r="18" spans="1:10" ht="13.2" x14ac:dyDescent="0.25">
      <c r="A18" s="2" t="s">
        <v>71</v>
      </c>
      <c r="B18" s="2" t="s">
        <v>63</v>
      </c>
      <c r="C18" s="2" t="s">
        <v>72</v>
      </c>
      <c r="D18" s="6">
        <v>160</v>
      </c>
      <c r="E18" s="6">
        <v>15</v>
      </c>
      <c r="F18" s="2" t="s">
        <v>26</v>
      </c>
      <c r="G18" t="str">
        <f>IF(Table1[[#This Row],[Price ($)]]&gt;=500,"High Price","Standard Price")</f>
        <v>Standard Price</v>
      </c>
      <c r="H18" t="str">
        <f t="shared" si="0"/>
        <v>20</v>
      </c>
      <c r="I18" t="str">
        <f t="shared" si="1"/>
        <v>CN</v>
      </c>
      <c r="J18" t="str">
        <f t="shared" si="2"/>
        <v>AUG</v>
      </c>
    </row>
    <row r="19" spans="1:10" ht="13.2" x14ac:dyDescent="0.25">
      <c r="A19" s="7" t="s">
        <v>73</v>
      </c>
      <c r="B19" s="7" t="s">
        <v>24</v>
      </c>
      <c r="C19" s="7" t="s">
        <v>74</v>
      </c>
      <c r="D19" s="8">
        <v>980</v>
      </c>
      <c r="E19" s="8">
        <v>10</v>
      </c>
      <c r="F19" s="7" t="s">
        <v>26</v>
      </c>
      <c r="G19" t="str">
        <f>IF(Table1[[#This Row],[Price ($)]]&gt;=500,"High Price","Standard Price")</f>
        <v>High Price</v>
      </c>
      <c r="H19" t="str">
        <f t="shared" si="0"/>
        <v>27</v>
      </c>
      <c r="I19" t="str">
        <f t="shared" si="1"/>
        <v>IT</v>
      </c>
      <c r="J19" t="str">
        <f t="shared" si="2"/>
        <v>JAN</v>
      </c>
    </row>
    <row r="20" spans="1:10" ht="13.2" x14ac:dyDescent="0.25">
      <c r="A20" s="2" t="s">
        <v>75</v>
      </c>
      <c r="B20" s="2" t="s">
        <v>76</v>
      </c>
      <c r="C20" s="2" t="s">
        <v>77</v>
      </c>
      <c r="D20" s="6">
        <v>150</v>
      </c>
      <c r="E20" s="6">
        <v>15</v>
      </c>
      <c r="F20" s="2" t="s">
        <v>30</v>
      </c>
      <c r="G20" t="str">
        <f>IF(Table1[[#This Row],[Price ($)]]&gt;=500,"High Price","Standard Price")</f>
        <v>Standard Price</v>
      </c>
      <c r="H20" t="str">
        <f t="shared" si="0"/>
        <v>01</v>
      </c>
      <c r="I20" t="str">
        <f t="shared" si="1"/>
        <v>UK</v>
      </c>
      <c r="J20" t="str">
        <f t="shared" si="2"/>
        <v>MAR</v>
      </c>
    </row>
    <row r="21" spans="1:10" ht="13.2" x14ac:dyDescent="0.25">
      <c r="A21" s="7" t="s">
        <v>78</v>
      </c>
      <c r="B21" s="7" t="s">
        <v>79</v>
      </c>
      <c r="C21" s="7" t="s">
        <v>80</v>
      </c>
      <c r="D21" s="8">
        <v>200</v>
      </c>
      <c r="E21" s="8">
        <v>10</v>
      </c>
      <c r="F21" s="7" t="s">
        <v>41</v>
      </c>
      <c r="G21" t="str">
        <f>IF(Table1[[#This Row],[Price ($)]]&gt;=500,"High Price","Standard Price")</f>
        <v>Standard Price</v>
      </c>
      <c r="H21" t="str">
        <f t="shared" si="0"/>
        <v>14</v>
      </c>
      <c r="I21" t="str">
        <f t="shared" si="1"/>
        <v>US</v>
      </c>
      <c r="J21" t="str">
        <f t="shared" si="2"/>
        <v>AUG</v>
      </c>
    </row>
    <row r="22" spans="1:10" ht="13.2" x14ac:dyDescent="0.25">
      <c r="A22" s="2" t="s">
        <v>81</v>
      </c>
      <c r="B22" s="2" t="s">
        <v>82</v>
      </c>
      <c r="C22" s="2" t="s">
        <v>83</v>
      </c>
      <c r="D22" s="6">
        <v>700</v>
      </c>
      <c r="E22" s="6">
        <v>50</v>
      </c>
      <c r="F22" s="2" t="s">
        <v>26</v>
      </c>
      <c r="G22" t="str">
        <f>IF(Table1[[#This Row],[Price ($)]]&gt;=500,"High Price","Standard Price")</f>
        <v>High Price</v>
      </c>
      <c r="H22" t="str">
        <f t="shared" si="0"/>
        <v>14</v>
      </c>
      <c r="I22" t="str">
        <f t="shared" si="1"/>
        <v>RU</v>
      </c>
      <c r="J22" t="str">
        <f t="shared" si="2"/>
        <v>MAY</v>
      </c>
    </row>
    <row r="23" spans="1:10" ht="13.2" x14ac:dyDescent="0.25">
      <c r="A23" s="7" t="s">
        <v>84</v>
      </c>
      <c r="B23" s="7" t="s">
        <v>85</v>
      </c>
      <c r="C23" s="7" t="s">
        <v>86</v>
      </c>
      <c r="D23" s="8">
        <v>80</v>
      </c>
      <c r="E23" s="8">
        <v>20</v>
      </c>
      <c r="F23" s="7" t="s">
        <v>34</v>
      </c>
      <c r="G23" t="str">
        <f>IF(Table1[[#This Row],[Price ($)]]&gt;=500,"High Price","Standard Price")</f>
        <v>Standard Price</v>
      </c>
      <c r="H23" t="str">
        <f t="shared" si="0"/>
        <v>09</v>
      </c>
      <c r="I23" t="str">
        <f t="shared" si="1"/>
        <v>CA</v>
      </c>
      <c r="J23" t="str">
        <f t="shared" si="2"/>
        <v>JAN</v>
      </c>
    </row>
    <row r="24" spans="1:10" ht="13.2" x14ac:dyDescent="0.25">
      <c r="A24" s="2" t="s">
        <v>87</v>
      </c>
      <c r="B24" s="2" t="s">
        <v>88</v>
      </c>
      <c r="C24" s="2" t="s">
        <v>89</v>
      </c>
      <c r="D24" s="6">
        <v>150</v>
      </c>
      <c r="E24" s="6">
        <v>30</v>
      </c>
      <c r="F24" s="2" t="s">
        <v>26</v>
      </c>
      <c r="G24" t="str">
        <f>IF(Table1[[#This Row],[Price ($)]]&gt;=500,"High Price","Standard Price")</f>
        <v>Standard Price</v>
      </c>
      <c r="H24" t="str">
        <f t="shared" si="0"/>
        <v>19</v>
      </c>
      <c r="I24" t="str">
        <f t="shared" si="1"/>
        <v>BR</v>
      </c>
      <c r="J24" t="str">
        <f t="shared" si="2"/>
        <v>JUL</v>
      </c>
    </row>
    <row r="25" spans="1:10" ht="13.2" x14ac:dyDescent="0.25">
      <c r="A25" s="7" t="s">
        <v>67</v>
      </c>
      <c r="B25" s="7" t="s">
        <v>68</v>
      </c>
      <c r="C25" s="7" t="s">
        <v>69</v>
      </c>
      <c r="D25" s="8">
        <v>50</v>
      </c>
      <c r="E25" s="8">
        <v>35</v>
      </c>
      <c r="F25" s="7" t="s">
        <v>70</v>
      </c>
      <c r="G25" t="str">
        <f>IF(Table1[[#This Row],[Price ($)]]&gt;=500,"High Price","Standard Price")</f>
        <v>Standard Price</v>
      </c>
      <c r="H25" t="str">
        <f t="shared" si="0"/>
        <v>21</v>
      </c>
      <c r="I25" t="str">
        <f t="shared" si="1"/>
        <v>CA</v>
      </c>
      <c r="J25" t="str">
        <f t="shared" si="2"/>
        <v>AUG</v>
      </c>
    </row>
    <row r="26" spans="1:10" ht="13.2" x14ac:dyDescent="0.25">
      <c r="A26" s="2" t="s">
        <v>90</v>
      </c>
      <c r="B26" s="2" t="s">
        <v>36</v>
      </c>
      <c r="C26" s="2" t="s">
        <v>91</v>
      </c>
      <c r="D26" s="6">
        <v>800</v>
      </c>
      <c r="E26" s="6">
        <v>45</v>
      </c>
      <c r="F26" s="2" t="s">
        <v>26</v>
      </c>
      <c r="G26" t="str">
        <f>IF(Table1[[#This Row],[Price ($)]]&gt;=500,"High Price","Standard Price")</f>
        <v>High Price</v>
      </c>
      <c r="H26" t="str">
        <f t="shared" si="0"/>
        <v>29</v>
      </c>
      <c r="I26" t="str">
        <f t="shared" si="1"/>
        <v>CA</v>
      </c>
      <c r="J26" t="str">
        <f t="shared" si="2"/>
        <v>SEP</v>
      </c>
    </row>
    <row r="27" spans="1:10" ht="13.2" x14ac:dyDescent="0.25">
      <c r="A27" s="7" t="s">
        <v>92</v>
      </c>
      <c r="B27" s="7" t="s">
        <v>76</v>
      </c>
      <c r="C27" s="7" t="s">
        <v>93</v>
      </c>
      <c r="D27" s="8">
        <v>130</v>
      </c>
      <c r="E27" s="8">
        <v>25</v>
      </c>
      <c r="F27" s="7" t="s">
        <v>30</v>
      </c>
      <c r="G27" t="str">
        <f>IF(Table1[[#This Row],[Price ($)]]&gt;=500,"High Price","Standard Price")</f>
        <v>Standard Price</v>
      </c>
      <c r="H27" t="str">
        <f t="shared" si="0"/>
        <v>03</v>
      </c>
      <c r="I27" t="str">
        <f t="shared" si="1"/>
        <v>CA</v>
      </c>
      <c r="J27" t="str">
        <f t="shared" si="2"/>
        <v>JUN</v>
      </c>
    </row>
    <row r="28" spans="1:10" ht="13.2" x14ac:dyDescent="0.25">
      <c r="A28" s="2" t="s">
        <v>94</v>
      </c>
      <c r="B28" s="2" t="s">
        <v>49</v>
      </c>
      <c r="C28" s="2" t="s">
        <v>95</v>
      </c>
      <c r="D28" s="6">
        <v>400</v>
      </c>
      <c r="E28" s="6">
        <v>40</v>
      </c>
      <c r="F28" s="2" t="s">
        <v>34</v>
      </c>
      <c r="G28" t="str">
        <f>IF(Table1[[#This Row],[Price ($)]]&gt;=500,"High Price","Standard Price")</f>
        <v>Standard Price</v>
      </c>
      <c r="H28" t="str">
        <f t="shared" si="0"/>
        <v>11</v>
      </c>
      <c r="I28" t="str">
        <f t="shared" si="1"/>
        <v>CA</v>
      </c>
      <c r="J28" t="str">
        <f t="shared" si="2"/>
        <v>JUL</v>
      </c>
    </row>
    <row r="29" spans="1:10" ht="13.2" x14ac:dyDescent="0.25">
      <c r="A29" s="7" t="s">
        <v>65</v>
      </c>
      <c r="B29" s="7" t="s">
        <v>43</v>
      </c>
      <c r="C29" s="7" t="s">
        <v>66</v>
      </c>
      <c r="D29" s="8">
        <v>230</v>
      </c>
      <c r="E29" s="8">
        <v>20</v>
      </c>
      <c r="F29" s="7" t="s">
        <v>26</v>
      </c>
      <c r="G29" t="str">
        <f>IF(Table1[[#This Row],[Price ($)]]&gt;=500,"High Price","Standard Price")</f>
        <v>Standard Price</v>
      </c>
      <c r="H29" t="str">
        <f t="shared" si="0"/>
        <v>16</v>
      </c>
      <c r="I29" t="str">
        <f t="shared" si="1"/>
        <v>ES</v>
      </c>
      <c r="J29" t="str">
        <f t="shared" si="2"/>
        <v>APR</v>
      </c>
    </row>
    <row r="30" spans="1:10" ht="13.2" x14ac:dyDescent="0.25">
      <c r="A30" s="2" t="s">
        <v>96</v>
      </c>
      <c r="B30" s="2" t="s">
        <v>97</v>
      </c>
      <c r="C30" s="2" t="s">
        <v>98</v>
      </c>
      <c r="D30" s="6">
        <v>60</v>
      </c>
      <c r="E30" s="6">
        <v>30</v>
      </c>
      <c r="F30" s="2" t="s">
        <v>30</v>
      </c>
      <c r="G30" t="str">
        <f>IF(Table1[[#This Row],[Price ($)]]&gt;=500,"High Price","Standard Price")</f>
        <v>Standard Price</v>
      </c>
      <c r="H30" t="str">
        <f t="shared" si="0"/>
        <v>07</v>
      </c>
      <c r="I30" t="str">
        <f t="shared" si="1"/>
        <v>CA</v>
      </c>
      <c r="J30" t="str">
        <f t="shared" si="2"/>
        <v>MAR</v>
      </c>
    </row>
    <row r="31" spans="1:10" ht="13.2" x14ac:dyDescent="0.25">
      <c r="A31" s="7" t="s">
        <v>99</v>
      </c>
      <c r="B31" s="7" t="s">
        <v>100</v>
      </c>
      <c r="C31" s="7" t="s">
        <v>101</v>
      </c>
      <c r="D31" s="8">
        <v>40</v>
      </c>
      <c r="E31" s="8">
        <v>10</v>
      </c>
      <c r="F31" s="7" t="s">
        <v>34</v>
      </c>
      <c r="G31" t="str">
        <f>IF(Table1[[#This Row],[Price ($)]]&gt;=500,"High Price","Standard Price")</f>
        <v>Standard Price</v>
      </c>
      <c r="H31" t="str">
        <f t="shared" si="0"/>
        <v>13</v>
      </c>
      <c r="I31" t="str">
        <f t="shared" si="1"/>
        <v>CA</v>
      </c>
      <c r="J31" t="str">
        <f t="shared" si="2"/>
        <v>APR</v>
      </c>
    </row>
    <row r="32" spans="1:10" ht="13.2" x14ac:dyDescent="0.25">
      <c r="A32" s="2" t="s">
        <v>102</v>
      </c>
      <c r="B32" s="2" t="s">
        <v>88</v>
      </c>
      <c r="C32" s="2" t="s">
        <v>103</v>
      </c>
      <c r="D32" s="6">
        <v>130</v>
      </c>
      <c r="E32" s="6">
        <v>5</v>
      </c>
      <c r="F32" s="2" t="s">
        <v>26</v>
      </c>
      <c r="G32" t="str">
        <f>IF(Table1[[#This Row],[Price ($)]]&gt;=500,"High Price","Standard Price")</f>
        <v>Standard Price</v>
      </c>
      <c r="H32" t="str">
        <f t="shared" si="0"/>
        <v>24</v>
      </c>
      <c r="I32" t="str">
        <f t="shared" si="1"/>
        <v>CA</v>
      </c>
      <c r="J32" t="str">
        <f t="shared" si="2"/>
        <v>MAY</v>
      </c>
    </row>
    <row r="33" spans="1:10" ht="13.2" x14ac:dyDescent="0.25">
      <c r="A33" s="7" t="s">
        <v>104</v>
      </c>
      <c r="B33" s="7" t="s">
        <v>105</v>
      </c>
      <c r="C33" s="7" t="s">
        <v>106</v>
      </c>
      <c r="D33" s="8">
        <v>50</v>
      </c>
      <c r="E33" s="8">
        <v>50</v>
      </c>
      <c r="F33" s="7" t="s">
        <v>30</v>
      </c>
      <c r="G33" t="str">
        <f>IF(Table1[[#This Row],[Price ($)]]&gt;=500,"High Price","Standard Price")</f>
        <v>Standard Price</v>
      </c>
      <c r="H33" t="str">
        <f t="shared" si="0"/>
        <v>02</v>
      </c>
      <c r="I33" t="str">
        <f t="shared" si="1"/>
        <v>CA</v>
      </c>
      <c r="J33" t="str">
        <f t="shared" si="2"/>
        <v>DEC</v>
      </c>
    </row>
    <row r="34" spans="1:10" ht="13.2" x14ac:dyDescent="0.25">
      <c r="A34" s="2" t="s">
        <v>57</v>
      </c>
      <c r="B34" s="2" t="s">
        <v>24</v>
      </c>
      <c r="C34" s="2" t="s">
        <v>58</v>
      </c>
      <c r="D34" s="6">
        <v>950</v>
      </c>
      <c r="E34" s="6">
        <v>25</v>
      </c>
      <c r="F34" s="2" t="s">
        <v>26</v>
      </c>
      <c r="G34" t="str">
        <f>IF(Table1[[#This Row],[Price ($)]]&gt;=500,"High Price","Standard Price")</f>
        <v>High Price</v>
      </c>
      <c r="H34" t="str">
        <f t="shared" si="0"/>
        <v>17</v>
      </c>
      <c r="I34" t="str">
        <f t="shared" si="1"/>
        <v>IN</v>
      </c>
      <c r="J34" t="str">
        <f t="shared" si="2"/>
        <v>JUN</v>
      </c>
    </row>
    <row r="35" spans="1:10" ht="13.2" x14ac:dyDescent="0.25">
      <c r="A35" s="7" t="s">
        <v>107</v>
      </c>
      <c r="B35" s="7" t="s">
        <v>108</v>
      </c>
      <c r="C35" s="7" t="s">
        <v>109</v>
      </c>
      <c r="D35" s="8">
        <v>100</v>
      </c>
      <c r="E35" s="8">
        <v>20</v>
      </c>
      <c r="F35" s="7" t="s">
        <v>70</v>
      </c>
      <c r="G35" t="str">
        <f>IF(Table1[[#This Row],[Price ($)]]&gt;=500,"High Price","Standard Price")</f>
        <v>Standard Price</v>
      </c>
      <c r="H35" t="str">
        <f t="shared" si="0"/>
        <v>09</v>
      </c>
      <c r="I35" t="str">
        <f t="shared" si="1"/>
        <v>FR</v>
      </c>
      <c r="J35" t="str">
        <f t="shared" si="2"/>
        <v>JUL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ramana nadimindla</cp:lastModifiedBy>
  <dcterms:modified xsi:type="dcterms:W3CDTF">2026-06-24T08:09:56Z</dcterms:modified>
</cp:coreProperties>
</file>