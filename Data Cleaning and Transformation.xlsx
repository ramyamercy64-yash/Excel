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aman\OneDrive\Desktop\"/>
    </mc:Choice>
  </mc:AlternateContent>
  <xr:revisionPtr revIDLastSave="0" documentId="13_ncr:1_{66AE445D-3365-4635-BB2C-40FB2ACB0BF4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Instructions" sheetId="1" r:id="rId1"/>
    <sheet name="Dataset" sheetId="2" r:id="rId2"/>
  </sheets>
  <definedNames>
    <definedName name="_xlnm._FilterDatabase" localSheetId="1" hidden="1">Dataset!$F$1:$F$32</definedName>
    <definedName name="_xlnm.Criteria" localSheetId="1">Dataset!$I$1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J2" i="2" l="1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O3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</calcChain>
</file>

<file path=xl/sharedStrings.xml><?xml version="1.0" encoding="utf-8"?>
<sst xmlns="http://schemas.openxmlformats.org/spreadsheetml/2006/main" count="176" uniqueCount="140">
  <si>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</si>
  <si>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</si>
  <si>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</si>
  <si>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</si>
  <si>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</si>
  <si>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</si>
  <si>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</si>
  <si>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</si>
  <si>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</si>
  <si>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</si>
  <si>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</si>
  <si>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</si>
  <si>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</si>
  <si>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</si>
  <si>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</si>
  <si>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</si>
  <si>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</si>
  <si>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</si>
  <si>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</si>
  <si>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</si>
  <si>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</si>
  <si>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</si>
  <si>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</si>
  <si>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</si>
  <si>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</si>
  <si>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</si>
  <si>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</si>
  <si>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</si>
  <si>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</si>
  <si>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</si>
  <si>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</si>
  <si>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</si>
  <si>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</si>
  <si>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</si>
  <si>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</si>
  <si>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</si>
  <si>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</si>
  <si>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</si>
  <si>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</si>
  <si>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</si>
  <si>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</si>
  <si>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</si>
  <si>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</si>
  <si>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</si>
  <si>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</si>
  <si>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</si>
  <si>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</si>
  <si>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</si>
  <si>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</si>
  <si>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</si>
  <si>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</si>
  <si>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</si>
  <si>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</si>
  <si>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</si>
  <si>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</si>
  <si>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</si>
  <si>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</si>
  <si>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</si>
  <si>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</si>
  <si>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</si>
  <si>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</si>
  <si>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</si>
  <si>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</si>
  <si>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</si>
  <si>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</si>
  <si>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</si>
  <si>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</si>
  <si>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</si>
  <si>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</si>
  <si>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</si>
  <si>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</si>
  <si>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</si>
  <si>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</si>
  <si>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</si>
  <si>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</si>
  <si>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</si>
  <si>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</si>
  <si>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</si>
  <si>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</si>
  <si>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</si>
  <si>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</si>
  <si>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</si>
  <si>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</si>
  <si>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</si>
  <si>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</si>
  <si>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</si>
  <si>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</si>
  <si>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</si>
  <si>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</si>
  <si>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</si>
  <si>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</si>
  <si>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</si>
  <si>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</si>
  <si>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</si>
  <si>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</si>
  <si>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</si>
  <si>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</si>
  <si>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</si>
  <si>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</si>
  <si>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</si>
  <si>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</si>
  <si>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</si>
  <si>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</si>
  <si>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</si>
  <si>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</si>
  <si>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</si>
  <si>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</si>
  <si>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</si>
  <si>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</si>
  <si>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</si>
  <si>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</si>
  <si>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</si>
  <si>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</si>
  <si>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</si>
  <si>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average formula use or median formula</t>
  </si>
  <si>
    <t>Propercase</t>
  </si>
  <si>
    <t>2)1</t>
  </si>
  <si>
    <t>use Propercase</t>
  </si>
  <si>
    <t xml:space="preserve">Inconsistent data present </t>
  </si>
  <si>
    <t xml:space="preserve"> </t>
  </si>
  <si>
    <t>Fix typos present in the category column</t>
  </si>
  <si>
    <t>Use find&amp;Replace function for standardize text format  (Product column)</t>
  </si>
  <si>
    <t>3)</t>
  </si>
  <si>
    <t>3 duplicate values found &amp; removed</t>
  </si>
  <si>
    <t>4)</t>
  </si>
  <si>
    <t>Manufacturing Date</t>
  </si>
  <si>
    <t>Country Code</t>
  </si>
  <si>
    <t>Split Product ID</t>
  </si>
  <si>
    <t xml:space="preserve">Merge data </t>
  </si>
  <si>
    <t>Product Brand</t>
  </si>
  <si>
    <t xml:space="preserve"> "Price" column to currency format.</t>
  </si>
  <si>
    <t>6)1</t>
  </si>
  <si>
    <t>Conditional Formating for Price column</t>
  </si>
  <si>
    <t>Highlight cells  Category column  "Electronics"</t>
  </si>
  <si>
    <t>To fill Missing price cells</t>
  </si>
  <si>
    <t>Unknown</t>
  </si>
  <si>
    <t>Yes typo is present Category column</t>
  </si>
  <si>
    <t>5)1</t>
  </si>
  <si>
    <t>Use most frequent categorys.</t>
  </si>
  <si>
    <t>1)1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</si>
</sst>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dd\.mmm"/>
  </numFmts>
  <fonts count="13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2"/>
      <color theme="1"/>
      <name val="Times New Roman"/>
      <family val="1"/>
    </font>
    <font>
      <b/>
      <sz val="10"/>
      <color theme="1"/>
      <name val="Arial"/>
      <family val="2"/>
    </font>
    <font>
      <sz val="8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9"/>
        <bgColor rgb="FFE0F7FA"/>
      </patternFill>
    </fill>
    <fill>
      <patternFill patternType="solid">
        <fgColor theme="7"/>
        <bgColor indexed="64"/>
      </patternFill>
    </fill>
    <fill>
      <patternFill patternType="solid">
        <fgColor theme="7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9" fillId="0" borderId="0" xfId="0" applyFont="1"/>
    <xf numFmtId="0" fontId="8" fillId="0" borderId="0" xfId="0" applyFont="1"/>
    <xf numFmtId="0" fontId="10" fillId="0" borderId="0" xfId="0" applyFont="1"/>
    <xf numFmtId="0" fontId="5" fillId="5" borderId="0" xfId="0" applyFont="1" applyFill="1"/>
    <xf numFmtId="0" fontId="5" fillId="6" borderId="0" xfId="0" applyFont="1" applyFill="1"/>
    <xf numFmtId="0" fontId="11" fillId="2" borderId="0" xfId="0" applyFont="1" applyFill="1" applyAlignment="1">
      <alignment horizontal="center"/>
    </xf>
    <xf numFmtId="0" fontId="8" fillId="5" borderId="0" xfId="0" applyFont="1" applyFill="1"/>
    <xf numFmtId="0" fontId="8" fillId="3" borderId="0" xfId="0" applyFont="1" applyFill="1"/>
    <xf numFmtId="164" fontId="7" fillId="2" borderId="0" xfId="0" applyNumberFormat="1" applyFont="1" applyFill="1" applyAlignment="1">
      <alignment horizontal="center"/>
    </xf>
    <xf numFmtId="164" fontId="5" fillId="0" borderId="0" xfId="0" applyNumberFormat="1" applyFont="1"/>
    <xf numFmtId="164" fontId="5" fillId="3" borderId="0" xfId="0" applyNumberFormat="1" applyFont="1" applyFill="1"/>
    <xf numFmtId="164" fontId="5" fillId="4" borderId="0" xfId="0" applyNumberFormat="1" applyFont="1" applyFill="1"/>
    <xf numFmtId="165" fontId="7" fillId="2" borderId="0" xfId="0" applyNumberFormat="1" applyFont="1" applyFill="1" applyAlignment="1">
      <alignment horizontal="center"/>
    </xf>
    <xf numFmtId="165" fontId="5" fillId="3" borderId="0" xfId="0" applyNumberFormat="1" applyFont="1" applyFill="1"/>
  </cellXfs>
  <cellStyles count="1">
    <cellStyle name="Normal" xfId="0" builtinId="0"/>
  </cellStyles>
  <dxfs count="14">
    <dxf>
      <fill>
        <patternFill>
          <bgColor rgb="FF7030A0"/>
        </patternFill>
      </fill>
    </dxf>
    <dxf>
      <fill>
        <patternFill>
          <bgColor theme="6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dd\.mmm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&quot;₹&quot;\ #,##0.00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4CBDB0-6131-4339-99DF-3DD0EA76F38C}" name="Table1" displayName="Table1" ref="A1:J32" totalsRowShown="0" headerRowDxfId="13" dataDxfId="12">
  <tableColumns count="10">
    <tableColumn id="1" xr3:uid="{884CAA29-0C88-4F26-BA0C-141BB33BF436}" name="Product ID" dataDxfId="11"/>
    <tableColumn id="2" xr3:uid="{24C353ED-84D5-43C3-B9B6-0FA18E21B353}" name="Product Name" dataDxfId="10"/>
    <tableColumn id="3" xr3:uid="{B0E2A66C-BD66-4A91-B9D2-3EF2714B56E9}" name="Brand Name" dataDxfId="9"/>
    <tableColumn id="4" xr3:uid="{409D4782-58E1-4BC0-AB68-5F0751B4B092}" name="Price ($)" dataDxfId="8"/>
    <tableColumn id="5" xr3:uid="{C78D67CA-D4D6-48C3-929A-7E7ECA394B5A}" name="Quantity" dataDxfId="7"/>
    <tableColumn id="6" xr3:uid="{6DF4754A-8024-4B9D-B80F-9D5BDB889EAF}" name="Category" dataDxfId="6"/>
    <tableColumn id="7" xr3:uid="{6AC6C9C6-C7E6-4B8E-9AA8-C9744758C11D}" name="Propercase" dataDxfId="5">
      <calculatedColumnFormula>PROPER(B2)</calculatedColumnFormula>
    </tableColumn>
    <tableColumn id="8" xr3:uid="{FF56DDBC-905B-46A2-B0CB-D9727BA2BA6A}" name="Manufacturing Date" dataDxfId="4">
      <calculatedColumnFormula>LEFT(A2,6)</calculatedColumnFormula>
    </tableColumn>
    <tableColumn id="9" xr3:uid="{A798D962-2F2C-4E95-804E-8CA6118F03EA}" name="Country Code" dataDxfId="3">
      <calculatedColumnFormula>RIGHT(A2,2)</calculatedColumnFormula>
    </tableColumn>
    <tableColumn id="10" xr3:uid="{22D48D4A-8F6E-4E72-A82A-D4D01FCAB96E}" name="Product Brand" dataDxfId="2">
      <calculatedColumnFormula>B2&amp;" "&amp;C2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>
      <selection activeCell="C5" sqref="C5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11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11" t="s">
        <v>5</v>
      </c>
    </row>
    <row r="9" spans="1:11" ht="15.75" customHeight="1" x14ac:dyDescent="0.3">
      <c r="C9" s="11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11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11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11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tabSelected="1" topLeftCell="L1" zoomScale="101" zoomScaleNormal="100" workbookViewId="0">
      <selection activeCell="P6" sqref="P6"/>
    </sheetView>
  </sheetViews>
  <sheetFormatPr defaultColWidth="12.6640625" defaultRowHeight="15" customHeight="1" x14ac:dyDescent="0.25"/>
  <cols>
    <col min="1" max="1" width="12.6640625" customWidth="1"/>
    <col min="2" max="2" width="15.33203125" customWidth="1"/>
    <col min="3" max="3" width="13.6640625" customWidth="1"/>
    <col min="4" max="6" width="12.6640625" customWidth="1"/>
    <col min="7" max="7" width="16.21875" customWidth="1"/>
    <col min="8" max="8" width="18.5546875" customWidth="1"/>
    <col min="9" max="9" width="20.33203125" customWidth="1"/>
    <col min="10" max="10" width="21.21875" customWidth="1"/>
    <col min="11" max="11" width="12.6640625" customWidth="1"/>
    <col min="13" max="13" width="55.5546875" customWidth="1"/>
    <col min="14" max="14" width="8.109375" customWidth="1"/>
    <col min="15" max="15" width="39.44140625" customWidth="1"/>
    <col min="17" max="17" width="50" customWidth="1"/>
  </cols>
  <sheetData>
    <row r="1" spans="1:16" ht="15.75" customHeight="1" x14ac:dyDescent="0.25">
      <c r="A1" s="14" t="s">
        <v>19</v>
      </c>
      <c r="B1" s="14" t="s">
        <v>20</v>
      </c>
      <c r="C1" s="7" t="s">
        <v>21</v>
      </c>
      <c r="D1" s="17" t="s">
        <v>22</v>
      </c>
      <c r="E1" s="7" t="s">
        <v>23</v>
      </c>
      <c r="F1" s="14" t="s">
        <v>24</v>
      </c>
      <c r="G1" s="14" t="s">
        <v>115</v>
      </c>
      <c r="H1" s="21" t="s">
        <v>125</v>
      </c>
      <c r="I1" s="7" t="s">
        <v>126</v>
      </c>
      <c r="J1" s="7" t="s">
        <v>129</v>
      </c>
    </row>
    <row r="2" spans="1:16" ht="15.75" customHeight="1" x14ac:dyDescent="0.25">
      <c r="A2" s="5" t="s">
        <v>25</v>
      </c>
      <c r="B2" s="5" t="s">
        <v>59</v>
      </c>
      <c r="C2" s="5" t="s">
        <v>26</v>
      </c>
      <c r="D2" s="18">
        <v>1000</v>
      </c>
      <c r="E2" s="5">
        <v>30</v>
      </c>
      <c r="F2" s="10" t="s">
        <v>27</v>
      </c>
      <c r="G2" s="16" t="str">
        <f t="shared" ref="G2:G32" si="0">PROPER(B2)</f>
        <v>Laptop</v>
      </c>
      <c r="H2" s="22" t="str">
        <f>LEFT(A2,6)</f>
        <v>28-JAN</v>
      </c>
      <c r="I2" s="8" t="str">
        <f>RIGHT(A2,2)</f>
        <v>US</v>
      </c>
      <c r="J2" s="8" t="str">
        <f t="shared" ref="J2:J32" si="1">B2&amp;" "&amp;C2</f>
        <v>Laptop Dell</v>
      </c>
    </row>
    <row r="3" spans="1:16" ht="15.75" customHeight="1" x14ac:dyDescent="0.25">
      <c r="A3" s="8" t="s">
        <v>28</v>
      </c>
      <c r="B3" s="8" t="s">
        <v>29</v>
      </c>
      <c r="C3" s="8" t="s">
        <v>30</v>
      </c>
      <c r="D3" s="19">
        <v>80</v>
      </c>
      <c r="E3" s="8">
        <v>15</v>
      </c>
      <c r="F3" s="8" t="s">
        <v>31</v>
      </c>
      <c r="G3" s="16" t="str">
        <f t="shared" si="0"/>
        <v>Sneakers</v>
      </c>
      <c r="H3" s="22" t="str">
        <f t="shared" ref="H3:H32" si="2">LEFT(A3,6)</f>
        <v>15-FEB</v>
      </c>
      <c r="I3" s="8" t="str">
        <f t="shared" ref="I3:I32" si="3">RIGHT(A3,2)</f>
        <v>US</v>
      </c>
      <c r="J3" s="8" t="str">
        <f t="shared" si="1"/>
        <v>Sneakers Nike</v>
      </c>
      <c r="K3" s="5"/>
      <c r="L3" s="5"/>
      <c r="N3" s="9" t="s">
        <v>139</v>
      </c>
      <c r="O3">
        <f>COUNTBLANK(D2:D32)</f>
        <v>3</v>
      </c>
    </row>
    <row r="4" spans="1:16" ht="15.75" customHeight="1" x14ac:dyDescent="0.25">
      <c r="A4" s="5" t="s">
        <v>32</v>
      </c>
      <c r="B4" s="5" t="s">
        <v>33</v>
      </c>
      <c r="C4" s="5" t="s">
        <v>34</v>
      </c>
      <c r="D4" s="18">
        <v>130</v>
      </c>
      <c r="E4" s="5">
        <v>40</v>
      </c>
      <c r="F4" s="5" t="s">
        <v>35</v>
      </c>
      <c r="G4" s="16" t="str">
        <f t="shared" si="0"/>
        <v>Coffee Maker</v>
      </c>
      <c r="H4" s="22" t="str">
        <f>LEFT(A4,6)</f>
        <v>03-MAR</v>
      </c>
      <c r="I4" s="8" t="str">
        <f t="shared" si="3"/>
        <v>US</v>
      </c>
      <c r="J4" s="8" t="str">
        <f t="shared" si="1"/>
        <v>Coffee Maker Keurig</v>
      </c>
      <c r="K4" s="5"/>
      <c r="L4" s="5"/>
      <c r="N4" s="5"/>
      <c r="O4" s="10" t="s">
        <v>134</v>
      </c>
    </row>
    <row r="5" spans="1:16" ht="15.75" customHeight="1" x14ac:dyDescent="0.25">
      <c r="A5" s="8" t="s">
        <v>36</v>
      </c>
      <c r="B5" s="8" t="s">
        <v>94</v>
      </c>
      <c r="C5" s="8" t="s">
        <v>37</v>
      </c>
      <c r="D5" s="19">
        <v>900</v>
      </c>
      <c r="E5" s="8">
        <v>25</v>
      </c>
      <c r="F5" s="8" t="s">
        <v>27</v>
      </c>
      <c r="G5" s="16" t="str">
        <f t="shared" si="0"/>
        <v>Smartphone</v>
      </c>
      <c r="H5" s="22" t="str">
        <f t="shared" si="2"/>
        <v>11-APR</v>
      </c>
      <c r="I5" s="8" t="str">
        <f t="shared" si="3"/>
        <v>US</v>
      </c>
      <c r="J5" s="8" t="str">
        <f t="shared" si="1"/>
        <v>Smartphone Samsung</v>
      </c>
      <c r="K5" s="5"/>
      <c r="L5" s="5"/>
      <c r="N5" s="5"/>
      <c r="O5" s="10" t="s">
        <v>114</v>
      </c>
    </row>
    <row r="6" spans="1:16" ht="15.75" customHeight="1" x14ac:dyDescent="0.25">
      <c r="A6" s="5" t="s">
        <v>38</v>
      </c>
      <c r="B6" s="5" t="s">
        <v>39</v>
      </c>
      <c r="C6" s="5" t="s">
        <v>40</v>
      </c>
      <c r="D6" s="18">
        <v>70</v>
      </c>
      <c r="E6" s="5">
        <v>20</v>
      </c>
      <c r="F6" s="15" t="s">
        <v>135</v>
      </c>
      <c r="G6" s="16" t="str">
        <f t="shared" si="0"/>
        <v>Backpack</v>
      </c>
      <c r="H6" s="22" t="str">
        <f t="shared" si="2"/>
        <v>22-MAY</v>
      </c>
      <c r="I6" s="8" t="str">
        <f t="shared" si="3"/>
        <v>US</v>
      </c>
      <c r="J6" s="8" t="str">
        <f t="shared" si="1"/>
        <v>Backpack North Face</v>
      </c>
      <c r="N6" s="10">
        <v>2</v>
      </c>
      <c r="O6" s="5" t="s">
        <v>138</v>
      </c>
      <c r="P6" t="s">
        <v>119</v>
      </c>
    </row>
    <row r="7" spans="1:16" ht="15.75" customHeight="1" x14ac:dyDescent="0.25">
      <c r="A7" s="8" t="s">
        <v>41</v>
      </c>
      <c r="B7" s="8" t="s">
        <v>42</v>
      </c>
      <c r="C7" s="8" t="s">
        <v>43</v>
      </c>
      <c r="D7" s="20"/>
      <c r="E7" s="8">
        <v>45</v>
      </c>
      <c r="F7" s="8" t="s">
        <v>27</v>
      </c>
      <c r="G7" s="16" t="str">
        <f t="shared" si="0"/>
        <v>Headphones</v>
      </c>
      <c r="H7" s="22" t="str">
        <f t="shared" si="2"/>
        <v>07-JUN</v>
      </c>
      <c r="I7" s="8" t="str">
        <f t="shared" si="3"/>
        <v>UK</v>
      </c>
      <c r="J7" s="8" t="str">
        <f t="shared" si="1"/>
        <v>Headphones Sony</v>
      </c>
      <c r="N7" s="9" t="s">
        <v>116</v>
      </c>
      <c r="O7" s="9" t="s">
        <v>118</v>
      </c>
    </row>
    <row r="8" spans="1:16" ht="15.75" customHeight="1" x14ac:dyDescent="0.25">
      <c r="A8" s="5" t="s">
        <v>45</v>
      </c>
      <c r="B8" s="5" t="s">
        <v>46</v>
      </c>
      <c r="C8" s="5" t="s">
        <v>47</v>
      </c>
      <c r="D8" s="18">
        <v>30</v>
      </c>
      <c r="E8" s="5">
        <v>5</v>
      </c>
      <c r="F8" s="5" t="s">
        <v>31</v>
      </c>
      <c r="G8" s="16" t="str">
        <f t="shared" si="0"/>
        <v>T-Shirt</v>
      </c>
      <c r="H8" s="22" t="str">
        <f t="shared" si="2"/>
        <v>19-JUL</v>
      </c>
      <c r="I8" s="8" t="str">
        <f t="shared" si="3"/>
        <v>UK</v>
      </c>
      <c r="J8" s="8" t="str">
        <f t="shared" si="1"/>
        <v>T-shirt Adidas</v>
      </c>
      <c r="N8" s="9" t="s">
        <v>119</v>
      </c>
      <c r="O8" s="10" t="s">
        <v>117</v>
      </c>
    </row>
    <row r="9" spans="1:16" ht="15.75" customHeight="1" x14ac:dyDescent="0.25">
      <c r="A9" s="8" t="s">
        <v>48</v>
      </c>
      <c r="B9" s="8" t="s">
        <v>49</v>
      </c>
      <c r="C9" s="8" t="s">
        <v>50</v>
      </c>
      <c r="D9" s="19">
        <v>90</v>
      </c>
      <c r="E9" s="8">
        <v>35</v>
      </c>
      <c r="F9" s="8" t="s">
        <v>35</v>
      </c>
      <c r="G9" s="16" t="str">
        <f t="shared" si="0"/>
        <v>Blender</v>
      </c>
      <c r="H9" s="22" t="str">
        <f t="shared" si="2"/>
        <v>23-AUG</v>
      </c>
      <c r="I9" s="8" t="str">
        <f t="shared" si="3"/>
        <v>UK</v>
      </c>
      <c r="J9" s="8" t="str">
        <f t="shared" si="1"/>
        <v>Blender Ninja</v>
      </c>
      <c r="N9" s="9">
        <v>2</v>
      </c>
      <c r="O9" s="10" t="s">
        <v>136</v>
      </c>
    </row>
    <row r="10" spans="1:16" ht="15.75" customHeight="1" x14ac:dyDescent="0.25">
      <c r="A10" s="5" t="s">
        <v>51</v>
      </c>
      <c r="B10" s="5" t="s">
        <v>52</v>
      </c>
      <c r="C10" s="5" t="s">
        <v>53</v>
      </c>
      <c r="D10" s="18">
        <v>500</v>
      </c>
      <c r="E10" s="5">
        <v>50</v>
      </c>
      <c r="F10" s="5" t="s">
        <v>27</v>
      </c>
      <c r="G10" s="16" t="str">
        <f t="shared" si="0"/>
        <v>Tablet</v>
      </c>
      <c r="H10" s="22" t="str">
        <f t="shared" si="2"/>
        <v>05-SEP</v>
      </c>
      <c r="I10" s="8" t="str">
        <f t="shared" si="3"/>
        <v>UK</v>
      </c>
      <c r="J10" s="8" t="str">
        <f t="shared" si="1"/>
        <v>Tablet Apple</v>
      </c>
      <c r="O10" s="10" t="s">
        <v>44</v>
      </c>
    </row>
    <row r="11" spans="1:16" ht="15.75" customHeight="1" x14ac:dyDescent="0.25">
      <c r="A11" s="8" t="s">
        <v>54</v>
      </c>
      <c r="B11" s="8" t="s">
        <v>55</v>
      </c>
      <c r="C11" s="8" t="s">
        <v>56</v>
      </c>
      <c r="D11" s="19">
        <v>130</v>
      </c>
      <c r="E11" s="8">
        <v>10</v>
      </c>
      <c r="F11" s="8" t="s">
        <v>57</v>
      </c>
      <c r="G11" s="16" t="str">
        <f t="shared" si="0"/>
        <v>Hiking Boots</v>
      </c>
      <c r="H11" s="22" t="str">
        <f t="shared" si="2"/>
        <v>14-OCT</v>
      </c>
      <c r="I11" s="8" t="str">
        <f t="shared" si="3"/>
        <v>UK</v>
      </c>
      <c r="J11" s="8" t="str">
        <f t="shared" si="1"/>
        <v>Hiking Boots Timberland</v>
      </c>
      <c r="N11">
        <v>3</v>
      </c>
      <c r="O11" s="10" t="s">
        <v>121</v>
      </c>
    </row>
    <row r="12" spans="1:16" ht="15.75" customHeight="1" x14ac:dyDescent="0.25">
      <c r="A12" s="5" t="s">
        <v>58</v>
      </c>
      <c r="B12" s="5" t="s">
        <v>59</v>
      </c>
      <c r="C12" s="5" t="s">
        <v>60</v>
      </c>
      <c r="D12" s="18">
        <v>950</v>
      </c>
      <c r="E12" s="5">
        <v>25</v>
      </c>
      <c r="F12" s="5" t="s">
        <v>27</v>
      </c>
      <c r="G12" s="16" t="str">
        <f t="shared" si="0"/>
        <v>Laptop</v>
      </c>
      <c r="H12" s="22" t="str">
        <f t="shared" si="2"/>
        <v>17-JUN</v>
      </c>
      <c r="I12" s="8" t="str">
        <f t="shared" si="3"/>
        <v>IN</v>
      </c>
      <c r="J12" s="8" t="str">
        <f t="shared" si="1"/>
        <v>Laptop HP</v>
      </c>
      <c r="O12" s="10" t="s">
        <v>120</v>
      </c>
    </row>
    <row r="13" spans="1:16" ht="15.75" customHeight="1" x14ac:dyDescent="0.25">
      <c r="A13" s="8" t="s">
        <v>61</v>
      </c>
      <c r="B13" s="8" t="s">
        <v>29</v>
      </c>
      <c r="C13" s="8" t="s">
        <v>47</v>
      </c>
      <c r="D13" s="19">
        <v>90</v>
      </c>
      <c r="E13" s="8">
        <v>40</v>
      </c>
      <c r="F13" s="13" t="s">
        <v>31</v>
      </c>
      <c r="G13" s="16" t="str">
        <f t="shared" si="0"/>
        <v>Sneakers</v>
      </c>
      <c r="H13" s="22" t="str">
        <f t="shared" si="2"/>
        <v>25-NOV</v>
      </c>
      <c r="I13" s="8" t="str">
        <f t="shared" si="3"/>
        <v>AU</v>
      </c>
      <c r="J13" s="8" t="str">
        <f t="shared" si="1"/>
        <v>Sneakers Adidas</v>
      </c>
      <c r="N13" t="s">
        <v>122</v>
      </c>
      <c r="O13" s="10" t="s">
        <v>123</v>
      </c>
    </row>
    <row r="14" spans="1:16" ht="15.75" customHeight="1" x14ac:dyDescent="0.25">
      <c r="A14" s="5" t="s">
        <v>62</v>
      </c>
      <c r="B14" s="5" t="s">
        <v>33</v>
      </c>
      <c r="C14" s="5" t="s">
        <v>63</v>
      </c>
      <c r="D14" s="18">
        <v>120</v>
      </c>
      <c r="E14" s="5">
        <v>35</v>
      </c>
      <c r="F14" s="12" t="s">
        <v>35</v>
      </c>
      <c r="G14" s="16" t="str">
        <f t="shared" si="0"/>
        <v>Coffee Maker</v>
      </c>
      <c r="H14" s="22" t="str">
        <f t="shared" si="2"/>
        <v>08-DEC</v>
      </c>
      <c r="I14" s="8" t="str">
        <f t="shared" si="3"/>
        <v>DE</v>
      </c>
      <c r="J14" s="8" t="str">
        <f t="shared" si="1"/>
        <v>Coffee Maker Nespresso</v>
      </c>
      <c r="N14" t="s">
        <v>124</v>
      </c>
      <c r="O14" s="10" t="s">
        <v>127</v>
      </c>
    </row>
    <row r="15" spans="1:16" ht="15.75" customHeight="1" x14ac:dyDescent="0.25">
      <c r="A15" s="8" t="s">
        <v>64</v>
      </c>
      <c r="B15" s="8" t="s">
        <v>65</v>
      </c>
      <c r="C15" s="8" t="s">
        <v>66</v>
      </c>
      <c r="D15" s="19">
        <v>150</v>
      </c>
      <c r="E15" s="8">
        <v>15</v>
      </c>
      <c r="F15" s="8" t="s">
        <v>27</v>
      </c>
      <c r="G15" s="16" t="str">
        <f t="shared" si="0"/>
        <v>Smartwatch</v>
      </c>
      <c r="H15" s="22" t="str">
        <f t="shared" si="2"/>
        <v>18-FEB</v>
      </c>
      <c r="I15" s="8" t="str">
        <f t="shared" si="3"/>
        <v>CA</v>
      </c>
      <c r="J15" s="8" t="str">
        <f t="shared" si="1"/>
        <v>Smartwatch Fitbit</v>
      </c>
      <c r="O15" s="10" t="s">
        <v>128</v>
      </c>
    </row>
    <row r="16" spans="1:16" ht="15.75" customHeight="1" x14ac:dyDescent="0.25">
      <c r="A16" s="5" t="s">
        <v>67</v>
      </c>
      <c r="B16" s="5" t="s">
        <v>68</v>
      </c>
      <c r="C16" s="5" t="s">
        <v>69</v>
      </c>
      <c r="D16" s="18">
        <v>250</v>
      </c>
      <c r="E16" s="5">
        <v>20</v>
      </c>
      <c r="F16" s="5" t="s">
        <v>27</v>
      </c>
      <c r="G16" s="16" t="str">
        <f t="shared" si="0"/>
        <v>Headphones</v>
      </c>
      <c r="H16" s="22" t="str">
        <f t="shared" si="2"/>
        <v>16-APR</v>
      </c>
      <c r="I16" s="8" t="str">
        <f t="shared" si="3"/>
        <v>ES</v>
      </c>
      <c r="J16" s="8" t="str">
        <f t="shared" si="1"/>
        <v>headphones Bose</v>
      </c>
      <c r="N16" s="9" t="s">
        <v>137</v>
      </c>
      <c r="O16" s="10" t="s">
        <v>130</v>
      </c>
    </row>
    <row r="17" spans="1:15" ht="15.75" customHeight="1" x14ac:dyDescent="0.25">
      <c r="A17" s="8" t="s">
        <v>70</v>
      </c>
      <c r="B17" s="8" t="s">
        <v>71</v>
      </c>
      <c r="C17" s="8" t="s">
        <v>72</v>
      </c>
      <c r="D17" s="19">
        <v>50</v>
      </c>
      <c r="E17" s="8">
        <v>35</v>
      </c>
      <c r="F17" s="8" t="s">
        <v>73</v>
      </c>
      <c r="G17" s="16" t="str">
        <f t="shared" si="0"/>
        <v>Laptop Bag</v>
      </c>
      <c r="H17" s="22" t="str">
        <f t="shared" si="2"/>
        <v>21-AUG</v>
      </c>
      <c r="I17" s="8" t="str">
        <f t="shared" si="3"/>
        <v>CA</v>
      </c>
      <c r="J17" s="8" t="str">
        <f t="shared" si="1"/>
        <v>Laptop Bag Samsonite</v>
      </c>
    </row>
    <row r="18" spans="1:15" ht="15.75" customHeight="1" x14ac:dyDescent="0.25">
      <c r="A18" s="5" t="s">
        <v>74</v>
      </c>
      <c r="B18" s="5" t="s">
        <v>65</v>
      </c>
      <c r="C18" s="5" t="s">
        <v>75</v>
      </c>
      <c r="D18" s="18">
        <v>160</v>
      </c>
      <c r="E18" s="5">
        <v>15</v>
      </c>
      <c r="F18" s="5" t="s">
        <v>27</v>
      </c>
      <c r="G18" s="16" t="str">
        <f t="shared" si="0"/>
        <v>Smartwatch</v>
      </c>
      <c r="H18" s="22" t="str">
        <f t="shared" si="2"/>
        <v>20-AUG</v>
      </c>
      <c r="I18" s="8" t="str">
        <f t="shared" si="3"/>
        <v>CN</v>
      </c>
      <c r="J18" s="8" t="str">
        <f t="shared" si="1"/>
        <v>Smartwatch Huawei</v>
      </c>
      <c r="N18" t="s">
        <v>131</v>
      </c>
      <c r="O18" s="10" t="s">
        <v>132</v>
      </c>
    </row>
    <row r="19" spans="1:15" ht="15.75" customHeight="1" x14ac:dyDescent="0.25">
      <c r="A19" s="8" t="s">
        <v>76</v>
      </c>
      <c r="B19" s="8" t="s">
        <v>59</v>
      </c>
      <c r="C19" s="8" t="s">
        <v>77</v>
      </c>
      <c r="D19" s="19">
        <v>980</v>
      </c>
      <c r="E19" s="8">
        <v>10</v>
      </c>
      <c r="F19" s="8" t="s">
        <v>27</v>
      </c>
      <c r="G19" s="16" t="str">
        <f t="shared" si="0"/>
        <v>Laptop</v>
      </c>
      <c r="H19" s="22" t="str">
        <f t="shared" si="2"/>
        <v>27-JAN</v>
      </c>
      <c r="I19" s="8" t="str">
        <f t="shared" si="3"/>
        <v>IT</v>
      </c>
      <c r="J19" s="8" t="str">
        <f t="shared" si="1"/>
        <v>Laptop Asus</v>
      </c>
      <c r="N19">
        <v>2</v>
      </c>
      <c r="O19" s="10" t="s">
        <v>133</v>
      </c>
    </row>
    <row r="20" spans="1:15" ht="15.75" customHeight="1" x14ac:dyDescent="0.25">
      <c r="A20" s="5" t="s">
        <v>78</v>
      </c>
      <c r="B20" s="5" t="s">
        <v>79</v>
      </c>
      <c r="C20" s="5" t="s">
        <v>80</v>
      </c>
      <c r="D20" s="18">
        <v>150</v>
      </c>
      <c r="E20" s="5">
        <v>15</v>
      </c>
      <c r="F20" s="5" t="s">
        <v>31</v>
      </c>
      <c r="G20" s="16" t="str">
        <f t="shared" si="0"/>
        <v>Sunglasses</v>
      </c>
      <c r="H20" s="22" t="str">
        <f t="shared" si="2"/>
        <v>01-MAR</v>
      </c>
      <c r="I20" s="8" t="str">
        <f t="shared" si="3"/>
        <v>UK</v>
      </c>
      <c r="J20" s="8" t="str">
        <f t="shared" si="1"/>
        <v>Sunglasses Oakley</v>
      </c>
    </row>
    <row r="21" spans="1:15" ht="15.75" customHeight="1" x14ac:dyDescent="0.25">
      <c r="A21" s="8" t="s">
        <v>81</v>
      </c>
      <c r="B21" s="8" t="s">
        <v>82</v>
      </c>
      <c r="C21" s="8" t="s">
        <v>83</v>
      </c>
      <c r="D21" s="20"/>
      <c r="E21" s="8">
        <v>10</v>
      </c>
      <c r="F21" s="8" t="s">
        <v>57</v>
      </c>
      <c r="G21" s="16" t="str">
        <f t="shared" si="0"/>
        <v>Camping Tent</v>
      </c>
      <c r="H21" s="22" t="str">
        <f t="shared" si="2"/>
        <v>14-AUG</v>
      </c>
      <c r="I21" s="8" t="str">
        <f t="shared" si="3"/>
        <v>US</v>
      </c>
      <c r="J21" s="8" t="str">
        <f t="shared" si="1"/>
        <v>Camping Tent Coleman</v>
      </c>
    </row>
    <row r="22" spans="1:15" ht="15.75" customHeight="1" x14ac:dyDescent="0.25">
      <c r="A22" s="5" t="s">
        <v>84</v>
      </c>
      <c r="B22" s="5" t="s">
        <v>85</v>
      </c>
      <c r="C22" s="5" t="s">
        <v>86</v>
      </c>
      <c r="D22" s="18">
        <v>700</v>
      </c>
      <c r="E22" s="5">
        <v>50</v>
      </c>
      <c r="F22" s="5" t="s">
        <v>27</v>
      </c>
      <c r="G22" s="16" t="str">
        <f t="shared" si="0"/>
        <v>Camera</v>
      </c>
      <c r="H22" s="22" t="str">
        <f t="shared" si="2"/>
        <v>14-MAY</v>
      </c>
      <c r="I22" s="8" t="str">
        <f t="shared" si="3"/>
        <v>RU</v>
      </c>
      <c r="J22" s="8" t="str">
        <f t="shared" si="1"/>
        <v>Camera Nikon</v>
      </c>
    </row>
    <row r="23" spans="1:15" ht="15.75" customHeight="1" x14ac:dyDescent="0.25">
      <c r="A23" s="8" t="s">
        <v>87</v>
      </c>
      <c r="B23" s="8" t="s">
        <v>88</v>
      </c>
      <c r="C23" s="8" t="s">
        <v>89</v>
      </c>
      <c r="D23" s="19">
        <v>80</v>
      </c>
      <c r="E23" s="8">
        <v>20</v>
      </c>
      <c r="F23" s="8" t="s">
        <v>35</v>
      </c>
      <c r="G23" s="16" t="str">
        <f t="shared" si="0"/>
        <v>Microwave</v>
      </c>
      <c r="H23" s="22" t="str">
        <f t="shared" si="2"/>
        <v>09-JAN</v>
      </c>
      <c r="I23" s="8" t="str">
        <f t="shared" si="3"/>
        <v>CA</v>
      </c>
      <c r="J23" s="8" t="str">
        <f t="shared" si="1"/>
        <v>Microwave Panasonic</v>
      </c>
    </row>
    <row r="24" spans="1:15" ht="15.75" customHeight="1" x14ac:dyDescent="0.25">
      <c r="A24" s="5" t="s">
        <v>90</v>
      </c>
      <c r="B24" s="5" t="s">
        <v>91</v>
      </c>
      <c r="C24" s="5" t="s">
        <v>92</v>
      </c>
      <c r="D24" s="18">
        <v>150</v>
      </c>
      <c r="E24" s="5">
        <v>30</v>
      </c>
      <c r="F24" s="12" t="s">
        <v>27</v>
      </c>
      <c r="G24" s="16" t="str">
        <f t="shared" si="0"/>
        <v>Fitness Tracker</v>
      </c>
      <c r="H24" s="22" t="str">
        <f t="shared" si="2"/>
        <v>19-JUL</v>
      </c>
      <c r="I24" s="8" t="str">
        <f t="shared" si="3"/>
        <v>BR</v>
      </c>
      <c r="J24" s="8" t="str">
        <f t="shared" si="1"/>
        <v>Fitness Tracker Xiaomi</v>
      </c>
    </row>
    <row r="25" spans="1:15" ht="15.75" customHeight="1" x14ac:dyDescent="0.25">
      <c r="A25" s="5" t="s">
        <v>93</v>
      </c>
      <c r="B25" s="5" t="s">
        <v>94</v>
      </c>
      <c r="C25" s="5" t="s">
        <v>95</v>
      </c>
      <c r="D25" s="18">
        <v>800</v>
      </c>
      <c r="E25" s="5">
        <v>45</v>
      </c>
      <c r="F25" s="5" t="s">
        <v>27</v>
      </c>
      <c r="G25" s="16" t="str">
        <f t="shared" si="0"/>
        <v>Smartphone</v>
      </c>
      <c r="H25" s="22" t="str">
        <f t="shared" si="2"/>
        <v>29-SEP</v>
      </c>
      <c r="I25" s="8" t="str">
        <f t="shared" si="3"/>
        <v>CA</v>
      </c>
      <c r="J25" s="8" t="str">
        <f t="shared" si="1"/>
        <v>Smartphone Google</v>
      </c>
    </row>
    <row r="26" spans="1:15" ht="15.75" customHeight="1" x14ac:dyDescent="0.25">
      <c r="A26" s="8" t="s">
        <v>96</v>
      </c>
      <c r="B26" s="8" t="s">
        <v>79</v>
      </c>
      <c r="C26" s="8" t="s">
        <v>97</v>
      </c>
      <c r="D26" s="20"/>
      <c r="E26" s="8">
        <v>25</v>
      </c>
      <c r="F26" s="8" t="s">
        <v>31</v>
      </c>
      <c r="G26" s="16" t="str">
        <f t="shared" si="0"/>
        <v>Sunglasses</v>
      </c>
      <c r="H26" s="22" t="str">
        <f t="shared" si="2"/>
        <v>03-JUN</v>
      </c>
      <c r="I26" s="8" t="str">
        <f t="shared" si="3"/>
        <v>CA</v>
      </c>
      <c r="J26" s="8" t="str">
        <f t="shared" si="1"/>
        <v>Sunglasses Ray-Ban</v>
      </c>
    </row>
    <row r="27" spans="1:15" ht="15.75" customHeight="1" x14ac:dyDescent="0.25">
      <c r="A27" s="5" t="s">
        <v>98</v>
      </c>
      <c r="B27" s="5" t="s">
        <v>49</v>
      </c>
      <c r="C27" s="5" t="s">
        <v>99</v>
      </c>
      <c r="D27" s="18">
        <v>400</v>
      </c>
      <c r="E27" s="5">
        <v>40</v>
      </c>
      <c r="F27" s="5" t="s">
        <v>35</v>
      </c>
      <c r="G27" s="16" t="str">
        <f t="shared" si="0"/>
        <v>Blender</v>
      </c>
      <c r="H27" s="22" t="str">
        <f t="shared" si="2"/>
        <v>11-JUL</v>
      </c>
      <c r="I27" s="8" t="str">
        <f t="shared" si="3"/>
        <v>CA</v>
      </c>
      <c r="J27" s="8" t="str">
        <f t="shared" si="1"/>
        <v>Blender Vitamix</v>
      </c>
    </row>
    <row r="28" spans="1:15" ht="15.75" customHeight="1" x14ac:dyDescent="0.25">
      <c r="A28" s="5" t="s">
        <v>100</v>
      </c>
      <c r="B28" s="5" t="s">
        <v>101</v>
      </c>
      <c r="C28" s="5" t="s">
        <v>102</v>
      </c>
      <c r="D28" s="18">
        <v>60</v>
      </c>
      <c r="E28" s="5">
        <v>30</v>
      </c>
      <c r="F28" s="5" t="s">
        <v>31</v>
      </c>
      <c r="G28" s="16" t="str">
        <f t="shared" si="0"/>
        <v>Dress</v>
      </c>
      <c r="H28" s="22" t="str">
        <f t="shared" si="2"/>
        <v>07-MAR</v>
      </c>
      <c r="I28" s="8" t="str">
        <f t="shared" si="3"/>
        <v>CA</v>
      </c>
      <c r="J28" s="8" t="str">
        <f t="shared" si="1"/>
        <v>Dress Zara</v>
      </c>
    </row>
    <row r="29" spans="1:15" ht="15.75" customHeight="1" x14ac:dyDescent="0.25">
      <c r="A29" s="8" t="s">
        <v>103</v>
      </c>
      <c r="B29" s="8" t="s">
        <v>104</v>
      </c>
      <c r="C29" s="8" t="s">
        <v>105</v>
      </c>
      <c r="D29" s="19">
        <v>40</v>
      </c>
      <c r="E29" s="8">
        <v>10</v>
      </c>
      <c r="F29" s="8" t="s">
        <v>35</v>
      </c>
      <c r="G29" s="16" t="str">
        <f t="shared" si="0"/>
        <v>Toaster</v>
      </c>
      <c r="H29" s="22" t="str">
        <f t="shared" si="2"/>
        <v>13-APR</v>
      </c>
      <c r="I29" s="8" t="str">
        <f t="shared" si="3"/>
        <v>CA</v>
      </c>
      <c r="J29" s="8" t="str">
        <f t="shared" si="1"/>
        <v>Toaster Hamilton</v>
      </c>
    </row>
    <row r="30" spans="1:15" ht="15.75" customHeight="1" x14ac:dyDescent="0.25">
      <c r="A30" s="5" t="s">
        <v>106</v>
      </c>
      <c r="B30" s="5" t="s">
        <v>91</v>
      </c>
      <c r="C30" s="5" t="s">
        <v>107</v>
      </c>
      <c r="D30" s="18">
        <v>130</v>
      </c>
      <c r="E30" s="5">
        <v>5</v>
      </c>
      <c r="F30" s="5" t="s">
        <v>27</v>
      </c>
      <c r="G30" s="16" t="str">
        <f t="shared" si="0"/>
        <v>Fitness Tracker</v>
      </c>
      <c r="H30" s="22" t="str">
        <f t="shared" si="2"/>
        <v>24-MAY</v>
      </c>
      <c r="I30" s="8" t="str">
        <f t="shared" si="3"/>
        <v>CA</v>
      </c>
      <c r="J30" s="8" t="str">
        <f t="shared" si="1"/>
        <v>Fitness Tracker Garmin</v>
      </c>
    </row>
    <row r="31" spans="1:15" ht="15.75" customHeight="1" x14ac:dyDescent="0.25">
      <c r="A31" s="8" t="s">
        <v>108</v>
      </c>
      <c r="B31" s="8" t="s">
        <v>109</v>
      </c>
      <c r="C31" s="8" t="s">
        <v>110</v>
      </c>
      <c r="D31" s="19">
        <v>50</v>
      </c>
      <c r="E31" s="8">
        <v>50</v>
      </c>
      <c r="F31" s="8" t="s">
        <v>31</v>
      </c>
      <c r="G31" s="16" t="str">
        <f t="shared" si="0"/>
        <v>Jeans</v>
      </c>
      <c r="H31" s="22" t="str">
        <f t="shared" si="2"/>
        <v>02-DEC</v>
      </c>
      <c r="I31" s="8" t="str">
        <f t="shared" si="3"/>
        <v>CA</v>
      </c>
      <c r="J31" s="8" t="str">
        <f t="shared" si="1"/>
        <v>Jeans Levi's</v>
      </c>
    </row>
    <row r="32" spans="1:15" ht="15.75" customHeight="1" x14ac:dyDescent="0.25">
      <c r="A32" s="8" t="s">
        <v>111</v>
      </c>
      <c r="B32" s="8" t="s">
        <v>112</v>
      </c>
      <c r="C32" s="8" t="s">
        <v>113</v>
      </c>
      <c r="D32" s="19">
        <v>100</v>
      </c>
      <c r="E32" s="8">
        <v>20</v>
      </c>
      <c r="F32" s="8" t="s">
        <v>73</v>
      </c>
      <c r="G32" s="16" t="str">
        <f t="shared" si="0"/>
        <v>Watch</v>
      </c>
      <c r="H32" s="22" t="str">
        <f t="shared" si="2"/>
        <v>09-JUL</v>
      </c>
      <c r="I32" s="8" t="str">
        <f t="shared" si="3"/>
        <v>FR</v>
      </c>
      <c r="J32" s="8" t="str">
        <f t="shared" si="1"/>
        <v>Watch Casio</v>
      </c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12" type="noConversion"/>
  <conditionalFormatting sqref="D1:D32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{DA392E84-EF88-4F3B-B8F6-44148680CA0C}</x14:id>
        </ext>
      </extLst>
    </cfRule>
  </conditionalFormatting>
  <conditionalFormatting sqref="F1:F32">
    <cfRule type="containsText" dxfId="1" priority="1" operator="containsText" text="Electronics">
      <formula>NOT(ISERROR(SEARCH("Electronics",F1)))</formula>
    </cfRule>
    <cfRule type="expression" dxfId="0" priority="3">
      <formula>$E2="Electronics"</formula>
    </cfRule>
    <cfRule type="expression" priority="4">
      <formula>E2="Electronics"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392E84-EF88-4F3B-B8F6-44148680CA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D1:D32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7AA2BE-D993-4C76-9219-9A63EA4056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Instructions</vt:lpstr>
      <vt:lpstr>Dataset</vt:lpstr>
      <vt:lpstr>Dataset!Criteria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ramana nadimindla</cp:lastModifiedBy>
  <dcterms:modified xsi:type="dcterms:W3CDTF">2026-07-04T07:59:12Z</dcterms:modified>
</cp:coreProperties>
</file>